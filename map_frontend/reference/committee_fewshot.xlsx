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ocuments\Cursor_project\MAP-develop\map_frontend\reference\"/>
    </mc:Choice>
  </mc:AlternateContent>
  <xr:revisionPtr revIDLastSave="0" documentId="13_ncr:1_{E5787247-DDC6-4BDD-8A20-06C3833935D6}" xr6:coauthVersionLast="47" xr6:coauthVersionMax="47" xr10:uidLastSave="{00000000-0000-0000-0000-000000000000}"/>
  <bookViews>
    <workbookView xWindow="-96" yWindow="-96" windowWidth="18912" windowHeight="11952" xr2:uid="{863B53D1-8025-46C3-9F27-69C4519C55A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F13" i="2"/>
  <c r="E13" i="2"/>
  <c r="F11" i="2"/>
  <c r="G11" i="2"/>
  <c r="E11" i="2"/>
  <c r="F9" i="2"/>
  <c r="G9" i="2"/>
  <c r="E9" i="2"/>
</calcChain>
</file>

<file path=xl/sharedStrings.xml><?xml version="1.0" encoding="utf-8"?>
<sst xmlns="http://schemas.openxmlformats.org/spreadsheetml/2006/main" count="47" uniqueCount="39">
  <si>
    <t>权益</t>
    <phoneticPr fontId="2" type="noConversion"/>
  </si>
  <si>
    <t>红利</t>
    <phoneticPr fontId="2" type="noConversion"/>
  </si>
  <si>
    <t>另类</t>
    <phoneticPr fontId="2" type="noConversion"/>
  </si>
  <si>
    <t>黄金</t>
    <phoneticPr fontId="2" type="noConversion"/>
  </si>
  <si>
    <t>产品类型</t>
    <phoneticPr fontId="2" type="noConversion"/>
  </si>
  <si>
    <t>委员会决策</t>
    <phoneticPr fontId="2" type="noConversion"/>
  </si>
  <si>
    <t>固收+中低波</t>
    <phoneticPr fontId="2" type="noConversion"/>
  </si>
  <si>
    <t>固收+中波</t>
    <phoneticPr fontId="2" type="noConversion"/>
  </si>
  <si>
    <t>混合绝对</t>
    <phoneticPr fontId="2" type="noConversion"/>
  </si>
  <si>
    <t>固收</t>
    <phoneticPr fontId="2" type="noConversion"/>
  </si>
  <si>
    <t>档位选择</t>
    <phoneticPr fontId="2" type="noConversion"/>
  </si>
  <si>
    <t>总权益仓位</t>
    <phoneticPr fontId="2" type="noConversion"/>
  </si>
  <si>
    <t>港股</t>
    <phoneticPr fontId="2" type="noConversion"/>
  </si>
  <si>
    <t>其他权益</t>
    <phoneticPr fontId="2" type="noConversion"/>
  </si>
  <si>
    <t>REITS</t>
    <phoneticPr fontId="2" type="noConversion"/>
  </si>
  <si>
    <t>CTA</t>
    <phoneticPr fontId="2" type="noConversion"/>
  </si>
  <si>
    <t>量化中性</t>
    <phoneticPr fontId="2" type="noConversion"/>
  </si>
  <si>
    <t>绝对收益</t>
    <phoneticPr fontId="2" type="noConversion"/>
  </si>
  <si>
    <t>期权</t>
    <phoneticPr fontId="2" type="noConversion"/>
  </si>
  <si>
    <t>流动性</t>
    <phoneticPr fontId="2" type="noConversion"/>
  </si>
  <si>
    <t>资金仓位</t>
    <phoneticPr fontId="2" type="noConversion"/>
  </si>
  <si>
    <t>定性观点</t>
    <phoneticPr fontId="2" type="noConversion"/>
  </si>
  <si>
    <t>境内固收</t>
    <phoneticPr fontId="2" type="noConversion"/>
  </si>
  <si>
    <t>指引仓位</t>
    <phoneticPr fontId="2" type="noConversion"/>
  </si>
  <si>
    <t>对应范围</t>
    <phoneticPr fontId="2" type="noConversion"/>
  </si>
  <si>
    <t>高（久期在3-5范围内）</t>
    <phoneticPr fontId="2" type="noConversion"/>
  </si>
  <si>
    <t>委员会配置决策与指引组合</t>
    <phoneticPr fontId="2" type="noConversion"/>
  </si>
  <si>
    <t>规范检查</t>
    <phoneticPr fontId="2" type="noConversion"/>
  </si>
  <si>
    <t>（1）指引语言是否统一：是</t>
    <phoneticPr fontId="2" type="noConversion"/>
  </si>
  <si>
    <t>（2）指引是否按要求对债券久期、权益-红利、权益-其他给出档位选择，对另类资产给出定性观点</t>
    <phoneticPr fontId="2" type="noConversion"/>
  </si>
  <si>
    <t>3档中性</t>
    <phoneticPr fontId="2" type="noConversion"/>
  </si>
  <si>
    <t>高</t>
    <phoneticPr fontId="2" type="noConversion"/>
  </si>
  <si>
    <t>维持一档风险预算</t>
    <phoneticPr fontId="2" type="noConversion"/>
  </si>
  <si>
    <t>2.8%-4.2%</t>
    <phoneticPr fontId="2" type="noConversion"/>
  </si>
  <si>
    <t>6%-9%</t>
    <phoneticPr fontId="2" type="noConversion"/>
  </si>
  <si>
    <t>12%-18%</t>
    <phoneticPr fontId="2" type="noConversion"/>
  </si>
  <si>
    <t>0%-2.8%</t>
    <phoneticPr fontId="2" type="noConversion"/>
  </si>
  <si>
    <t>0%-6%</t>
    <phoneticPr fontId="2" type="noConversion"/>
  </si>
  <si>
    <t>0%-12%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</si>
</sst>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478F-D989-488D-9640-EF458B0EF8DB}">
  <dimension ref="A1:N14"/>
  <sheetViews>
    <sheetView tabSelected="1" workbookViewId="0">
      <selection activeCell="A13" sqref="A13:A14"/>
    </sheetView>
  </sheetViews>
  <sheetFormatPr defaultRowHeight="14.1" x14ac:dyDescent="0.5"/>
  <cols>
    <col min="1" max="2" width="14.44921875" customWidth="1"/>
    <col min="3" max="3" width="21.34765625" customWidth="1"/>
    <col min="4" max="4" width="10.296875" bestFit="1" customWidth="1"/>
    <col min="9" max="9" width="16.046875" style="1" bestFit="1" customWidth="1"/>
  </cols>
  <sheetData>
    <row r="1" spans="1:14" x14ac:dyDescent="0.5">
      <c r="A1" t="s">
        <v>26</v>
      </c>
    </row>
    <row r="2" spans="1:14" x14ac:dyDescent="0.5">
      <c r="A2" t="s">
        <v>27</v>
      </c>
    </row>
    <row r="3" spans="1:14" x14ac:dyDescent="0.5">
      <c r="A3" t="s">
        <v>28</v>
      </c>
    </row>
    <row r="4" spans="1:14" x14ac:dyDescent="0.5">
      <c r="A4" t="s">
        <v>29</v>
      </c>
    </row>
    <row r="5" spans="1:14" x14ac:dyDescent="0.5">
      <c r="A5" s="4" t="s">
        <v>4</v>
      </c>
      <c r="B5" s="4"/>
      <c r="C5" s="6" t="s">
        <v>9</v>
      </c>
      <c r="D5" s="4" t="s">
        <v>0</v>
      </c>
      <c r="E5" s="4"/>
      <c r="F5" s="4"/>
      <c r="G5" s="4"/>
      <c r="H5" s="10" t="s">
        <v>2</v>
      </c>
      <c r="I5" s="11"/>
      <c r="J5" s="11"/>
      <c r="K5" s="11"/>
      <c r="L5" s="11"/>
      <c r="M5" s="12"/>
      <c r="N5" s="5" t="s">
        <v>19</v>
      </c>
    </row>
    <row r="6" spans="1:14" x14ac:dyDescent="0.5">
      <c r="A6" s="4"/>
      <c r="B6" s="4"/>
      <c r="C6" s="6" t="s">
        <v>10</v>
      </c>
      <c r="D6" s="4" t="s">
        <v>10</v>
      </c>
      <c r="E6" s="4"/>
      <c r="F6" s="4"/>
      <c r="G6" s="4"/>
      <c r="H6" s="10" t="s">
        <v>21</v>
      </c>
      <c r="I6" s="11"/>
      <c r="J6" s="11"/>
      <c r="K6" s="11"/>
      <c r="L6" s="11"/>
      <c r="M6" s="12"/>
      <c r="N6" s="5" t="s">
        <v>20</v>
      </c>
    </row>
    <row r="7" spans="1:14" s="1" customFormat="1" x14ac:dyDescent="0.5">
      <c r="A7" s="4"/>
      <c r="B7" s="4"/>
      <c r="C7" s="6" t="s">
        <v>22</v>
      </c>
      <c r="D7" s="6" t="s">
        <v>11</v>
      </c>
      <c r="E7" s="6" t="s">
        <v>1</v>
      </c>
      <c r="F7" s="6" t="s">
        <v>12</v>
      </c>
      <c r="G7" s="6" t="s">
        <v>13</v>
      </c>
      <c r="H7" s="6" t="s">
        <v>14</v>
      </c>
      <c r="I7" s="6" t="s">
        <v>3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</row>
    <row r="8" spans="1:14" s="8" customFormat="1" ht="28.5" customHeight="1" x14ac:dyDescent="0.5">
      <c r="A8" s="4" t="s">
        <v>5</v>
      </c>
      <c r="B8" s="4"/>
      <c r="C8" s="6" t="s">
        <v>31</v>
      </c>
      <c r="D8" s="6" t="s">
        <v>30</v>
      </c>
      <c r="E8" s="9">
        <v>0.5</v>
      </c>
      <c r="F8" s="9">
        <v>0.3</v>
      </c>
      <c r="G8" s="9">
        <v>0.2</v>
      </c>
      <c r="H8" s="6"/>
      <c r="I8" s="6" t="s">
        <v>32</v>
      </c>
      <c r="J8" s="6"/>
      <c r="K8" s="6"/>
      <c r="L8" s="6"/>
      <c r="M8" s="6"/>
      <c r="N8" s="6"/>
    </row>
    <row r="9" spans="1:14" x14ac:dyDescent="0.5">
      <c r="A9" s="16" t="s">
        <v>6</v>
      </c>
      <c r="B9" s="3" t="s">
        <v>23</v>
      </c>
      <c r="C9" s="2" t="s">
        <v>25</v>
      </c>
      <c r="D9" s="13">
        <v>3.5000000000000003E-2</v>
      </c>
      <c r="E9" s="14">
        <f>$D$9*E8</f>
        <v>1.7500000000000002E-2</v>
      </c>
      <c r="F9" s="14">
        <f t="shared" ref="F9:G9" si="0">$D$9*F8</f>
        <v>1.0500000000000001E-2</v>
      </c>
      <c r="G9" s="14">
        <f t="shared" si="0"/>
        <v>7.000000000000001E-3</v>
      </c>
      <c r="H9" s="3"/>
      <c r="I9" s="13">
        <v>7.0000000000000001E-3</v>
      </c>
      <c r="J9" s="3"/>
      <c r="K9" s="3"/>
      <c r="L9" s="3"/>
      <c r="M9" s="3"/>
      <c r="N9" s="3"/>
    </row>
    <row r="10" spans="1:14" x14ac:dyDescent="0.5">
      <c r="A10" s="17"/>
      <c r="B10" s="3" t="s">
        <v>24</v>
      </c>
      <c r="C10" s="2"/>
      <c r="D10" s="7" t="s">
        <v>33</v>
      </c>
      <c r="E10" s="14"/>
      <c r="F10" s="14"/>
      <c r="G10" s="14"/>
      <c r="H10" s="3"/>
      <c r="I10" s="7" t="s">
        <v>36</v>
      </c>
      <c r="J10" s="3"/>
      <c r="K10" s="3"/>
      <c r="L10" s="3"/>
      <c r="M10" s="3"/>
      <c r="N10" s="3"/>
    </row>
    <row r="11" spans="1:14" x14ac:dyDescent="0.5">
      <c r="A11" s="16" t="s">
        <v>7</v>
      </c>
      <c r="B11" s="3" t="s">
        <v>23</v>
      </c>
      <c r="C11" s="2" t="s">
        <v>25</v>
      </c>
      <c r="D11" s="13">
        <v>7.4999999999999997E-2</v>
      </c>
      <c r="E11" s="14">
        <f>$D11*E$8</f>
        <v>3.7499999999999999E-2</v>
      </c>
      <c r="F11" s="14">
        <f t="shared" ref="F11:G13" si="1">$D11*F$8</f>
        <v>2.2499999999999999E-2</v>
      </c>
      <c r="G11" s="14">
        <f t="shared" si="1"/>
        <v>1.4999999999999999E-2</v>
      </c>
      <c r="H11" s="3"/>
      <c r="I11" s="13">
        <v>1.4999999999999999E-2</v>
      </c>
      <c r="J11" s="3"/>
      <c r="K11" s="3"/>
      <c r="L11" s="3"/>
      <c r="M11" s="3"/>
      <c r="N11" s="3"/>
    </row>
    <row r="12" spans="1:14" x14ac:dyDescent="0.5">
      <c r="A12" s="17"/>
      <c r="B12" s="3" t="s">
        <v>24</v>
      </c>
      <c r="C12" s="2"/>
      <c r="D12" s="7" t="s">
        <v>34</v>
      </c>
      <c r="E12" s="14"/>
      <c r="F12" s="14"/>
      <c r="G12" s="14"/>
      <c r="H12" s="3"/>
      <c r="I12" s="7" t="s">
        <v>37</v>
      </c>
      <c r="J12" s="3"/>
      <c r="K12" s="3"/>
      <c r="L12" s="3"/>
      <c r="M12" s="3"/>
      <c r="N12" s="3"/>
    </row>
    <row r="13" spans="1:14" x14ac:dyDescent="0.5">
      <c r="A13" s="16" t="s">
        <v>8</v>
      </c>
      <c r="B13" s="3" t="s">
        <v>23</v>
      </c>
      <c r="C13" s="2" t="s">
        <v>25</v>
      </c>
      <c r="D13" s="13">
        <v>0.15</v>
      </c>
      <c r="E13" s="14">
        <f>$D13*E$8</f>
        <v>7.4999999999999997E-2</v>
      </c>
      <c r="F13" s="14">
        <f t="shared" si="1"/>
        <v>4.4999999999999998E-2</v>
      </c>
      <c r="G13" s="14">
        <f t="shared" si="1"/>
        <v>0.03</v>
      </c>
      <c r="H13" s="3"/>
      <c r="I13" s="15">
        <v>0.03</v>
      </c>
      <c r="J13" s="3"/>
      <c r="K13" s="3"/>
      <c r="L13" s="3"/>
      <c r="M13" s="3"/>
      <c r="N13" s="3"/>
    </row>
    <row r="14" spans="1:14" x14ac:dyDescent="0.5">
      <c r="A14" s="17"/>
      <c r="B14" s="3" t="s">
        <v>24</v>
      </c>
      <c r="C14" s="2"/>
      <c r="D14" s="7" t="s">
        <v>35</v>
      </c>
      <c r="E14" s="14"/>
      <c r="F14" s="14"/>
      <c r="G14" s="14"/>
      <c r="H14" s="3"/>
      <c r="I14" s="7" t="s">
        <v>38</v>
      </c>
      <c r="J14" s="3"/>
      <c r="K14" s="3"/>
      <c r="L14" s="3"/>
      <c r="M14" s="3"/>
      <c r="N14" s="3"/>
    </row>
  </sheetData>
  <mergeCells count="12">
    <mergeCell ref="H5:M5"/>
    <mergeCell ref="H6:M6"/>
    <mergeCell ref="A9:A10"/>
    <mergeCell ref="A11:A12"/>
    <mergeCell ref="A13:A14"/>
    <mergeCell ref="C9:C10"/>
    <mergeCell ref="C11:C12"/>
    <mergeCell ref="C13:C14"/>
    <mergeCell ref="A5:B7"/>
    <mergeCell ref="D5:G5"/>
    <mergeCell ref="D6:G6"/>
    <mergeCell ref="A8:B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530706441@qq.com</dc:creator>
  <cp:lastModifiedBy>530706441@qq.com</cp:lastModifiedBy>
  <dcterms:created xsi:type="dcterms:W3CDTF">2026-04-21T06:15:32Z</dcterms:created>
  <dcterms:modified xsi:type="dcterms:W3CDTF">2026-04-22T02:12:25Z</dcterms:modified>
</cp:coreProperties>
</file>